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VIbeCoding\copilot-sql-workbench\參賽準備\參賽文件\"/>
    </mc:Choice>
  </mc:AlternateContent>
  <xr:revisionPtr revIDLastSave="0" documentId="13_ncr:1_{09C44E4C-B319-4716-91A4-ECECFA030BC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時間比較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3" i="1" l="1"/>
  <c r="I13" i="1"/>
  <c r="L13" i="1" s="1"/>
  <c r="J12" i="1"/>
  <c r="I12" i="1"/>
  <c r="L12" i="1" s="1"/>
  <c r="J11" i="1"/>
  <c r="I11" i="1"/>
  <c r="L11" i="1" s="1"/>
  <c r="J10" i="1"/>
  <c r="I10" i="1"/>
  <c r="L10" i="1" s="1"/>
  <c r="J9" i="1"/>
  <c r="G5" i="1" s="1"/>
  <c r="I9" i="1"/>
  <c r="L9" i="1" s="1"/>
  <c r="A5" i="1"/>
  <c r="D5" i="1" l="1"/>
  <c r="K9" i="1"/>
  <c r="K10" i="1"/>
  <c r="K11" i="1"/>
  <c r="K12" i="1"/>
  <c r="K13" i="1"/>
  <c r="J5" i="1"/>
</calcChain>
</file>

<file path=xl/sharedStrings.xml><?xml version="1.0" encoding="utf-8"?>
<sst xmlns="http://schemas.openxmlformats.org/spreadsheetml/2006/main" count="35" uniqueCount="35">
  <si>
    <t>SQL SPA Tools 風險管理情境成效量化報告</t>
  </si>
  <si>
    <t>風險管理覆核情境配對計時：每項工作以相同合成案例完成 3 次人工與 SPA 工具流程。請輸入實測秒數；未完成三次前，平均與改善率維持空白。</t>
  </si>
  <si>
    <t>參與者匿名代碼</t>
  </si>
  <si>
    <t>量測日期</t>
  </si>
  <si>
    <t>完成任務數</t>
  </si>
  <si>
    <t>人工合計平均秒數</t>
  </si>
  <si>
    <t>SPA 合計平均秒數</t>
  </si>
  <si>
    <t>整體改善率</t>
  </si>
  <si>
    <t>主要參賽使用情境：鎖頭銀行風險管理部 Dunk；量測資料仍使用匿名參與者代碼，不記姓名。案例資料須為合成資料。</t>
  </si>
  <si>
    <t>輸入區（淺藍）｜結果區（淺底）｜記錄各工具操作與必要結果檢查；不含 Copilot Chat 等待。每次重跑清空前次輸出。</t>
  </si>
  <si>
    <t>代表性工具</t>
  </si>
  <si>
    <t>固定比較情境</t>
  </si>
  <si>
    <t>人工 1 秒</t>
  </si>
  <si>
    <t>人工 2 秒</t>
  </si>
  <si>
    <t>人工 3 秒</t>
  </si>
  <si>
    <t>SPA 1 秒</t>
  </si>
  <si>
    <t>SPA 2 秒</t>
  </si>
  <si>
    <t>SPA 3 秒</t>
  </si>
  <si>
    <t>人工平均秒</t>
  </si>
  <si>
    <t>SPA 平均秒</t>
  </si>
  <si>
    <t>平均節省秒</t>
  </si>
  <si>
    <t>改善率</t>
  </si>
  <si>
    <t>SQL 差異比對</t>
  </si>
  <si>
    <t>比對同一組風險指標 SQL 版本並記錄定義差異</t>
  </si>
  <si>
    <t>欄位血緣追蹤</t>
  </si>
  <si>
    <t>追溯風險分群欄位與下游風險報表的來源</t>
  </si>
  <si>
    <t>資料品質稽核</t>
  </si>
  <si>
    <t>檢查合成風險資料的完整性、唯一性與型態規則</t>
  </si>
  <si>
    <t>SQL 個資清除</t>
  </si>
  <si>
    <t>摘要交接前掃描合成 SQL 與文字中的識別資訊</t>
  </si>
  <si>
    <t>SQL Catalog</t>
  </si>
  <si>
    <t>從風險 SQL 清冊定位用途與分類標籤</t>
  </si>
  <si>
    <t>計算方式</t>
  </si>
  <si>
    <t>每項人工平均＝三次人工秒數的平均；SPA 平均＝三次 SPA 秒數的平均；平均節省秒＝人工平均－SPA 平均；改善率＝平均節省秒÷人工平均。整體改善率以五項人工平均總秒數與五項 SPA 平均總秒數計算，只有五項都完成三次配對時才顯示。負值代表 SPA 流程較慢；人工平均為 0 時不計算百分比。</t>
  </si>
  <si>
    <t>資料依據：專案入口與 README 中現有工具功能；計時起訖及配對方式依「成效驗證計畫與紀錄.md」。目前沒有實測耗時，本工作簿不預填估算值。案例應使用合成資料並保存試次原始紀錄。完整 Copilot 交接的等待與覆核時間另按驗證計畫記錄，不與單項工具時間混算。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</si>
</sst>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\-mm\-dd"/>
    <numFmt numFmtId="177" formatCode="0.0%"/>
    <numFmt numFmtId="178" formatCode="0.0"/>
  </numFmts>
  <fonts count="13">
    <font>
      <sz val="11"/>
      <name val="Carlito"/>
    </font>
    <font>
      <b/>
      <sz val="16"/>
      <color rgb="FFFFFFFF"/>
      <name val="Carlito"/>
    </font>
    <font>
      <b/>
      <sz val="10"/>
      <color rgb="FFFFFFFF"/>
      <name val="Carlito"/>
    </font>
    <font>
      <i/>
      <sz val="10"/>
      <color rgb="FF59656E"/>
      <name val="Carlito"/>
    </font>
    <font>
      <b/>
      <sz val="10"/>
      <color rgb="FF202A33"/>
      <name val="Carlito"/>
    </font>
    <font>
      <sz val="11"/>
      <color rgb="FF202A33"/>
      <name val="Carlito"/>
    </font>
    <font>
      <b/>
      <sz val="16"/>
      <color rgb="FF202A33"/>
      <name val="Carlito"/>
    </font>
    <font>
      <sz val="10"/>
      <color rgb="FF59656E"/>
      <name val="Carlito"/>
    </font>
    <font>
      <sz val="10"/>
      <color rgb="FF25323C"/>
      <name val="Carlito"/>
    </font>
    <font>
      <sz val="10"/>
      <color rgb="FF202A33"/>
      <name val="Carlito"/>
    </font>
    <font>
      <i/>
      <sz val="9"/>
      <color rgb="FF59656E"/>
      <name val="Carlito"/>
    </font>
    <font>
      <sz val="11"/>
      <name val="Carlito"/>
    </font>
    <font>
      <sz val="9"/>
      <name val="細明體"/>
      <family val="3"/>
      <charset val="136"/>
    </font>
  </fonts>
  <fills count="5">
    <fill>
      <patternFill patternType="none"/>
    </fill>
    <fill>
      <patternFill patternType="gray125"/>
    </fill>
    <fill>
      <patternFill patternType="solid">
        <fgColor rgb="FF202A33"/>
      </patternFill>
    </fill>
    <fill>
      <patternFill patternType="solid">
        <fgColor rgb="FFEAF3F7"/>
      </patternFill>
    </fill>
    <fill>
      <patternFill patternType="solid">
        <fgColor rgb="FFF7FAFC"/>
      </patternFill>
    </fill>
  </fills>
  <borders count="4">
    <border>
      <left/>
      <right/>
      <top/>
      <bottom/>
      <diagonal/>
    </border>
    <border>
      <left/>
      <right/>
      <top/>
      <bottom style="thin">
        <color rgb="FFD8E0E6"/>
      </bottom>
      <diagonal/>
    </border>
    <border>
      <left/>
      <right/>
      <top style="thin">
        <color rgb="FFD8E0E6"/>
      </top>
      <bottom style="thin">
        <color rgb="FFD8E0E6"/>
      </bottom>
      <diagonal/>
    </border>
    <border>
      <left/>
      <right/>
      <top style="thin">
        <color rgb="FFD8E0E6"/>
      </top>
      <bottom/>
      <diagonal/>
    </border>
  </borders>
  <cellStyleXfs count="2">
    <xf numFmtId="0" fontId="0" fillId="0" borderId="0"/>
    <xf numFmtId="0" fontId="11" fillId="0" borderId="0"/>
  </cellStyleXfs>
  <cellXfs count="29">
    <xf numFmtId="0" fontId="0" fillId="0" borderId="0" xfId="0"/>
    <xf numFmtId="0" fontId="4" fillId="0" borderId="0" xfId="1" applyFont="1"/>
    <xf numFmtId="0" fontId="5" fillId="3" borderId="0" xfId="1" applyFont="1" applyFill="1"/>
    <xf numFmtId="176" fontId="5" fillId="3" borderId="0" xfId="1" applyNumberFormat="1" applyFont="1" applyFill="1"/>
    <xf numFmtId="0" fontId="4" fillId="3" borderId="0" xfId="1" applyFont="1" applyFill="1" applyAlignment="1">
      <alignment horizontal="center" vertical="center" wrapText="1"/>
    </xf>
    <xf numFmtId="0" fontId="2" fillId="2" borderId="0" xfId="1" applyFont="1" applyFill="1" applyAlignment="1">
      <alignment horizontal="center" vertical="center" wrapText="1"/>
    </xf>
    <xf numFmtId="0" fontId="8" fillId="4" borderId="1" xfId="1" applyFont="1" applyFill="1" applyBorder="1" applyAlignment="1">
      <alignment vertical="center" wrapText="1"/>
    </xf>
    <xf numFmtId="0" fontId="8" fillId="4" borderId="2" xfId="1" applyFont="1" applyFill="1" applyBorder="1" applyAlignment="1">
      <alignment vertical="center" wrapText="1"/>
    </xf>
    <xf numFmtId="0" fontId="8" fillId="4" borderId="3" xfId="1" applyFont="1" applyFill="1" applyBorder="1" applyAlignment="1">
      <alignment vertical="center" wrapText="1"/>
    </xf>
    <xf numFmtId="178" fontId="9" fillId="3" borderId="1" xfId="1" applyNumberFormat="1" applyFont="1" applyFill="1" applyBorder="1" applyAlignment="1">
      <alignment horizontal="center" vertical="center" wrapText="1"/>
    </xf>
    <xf numFmtId="178" fontId="9" fillId="3" borderId="2" xfId="1" applyNumberFormat="1" applyFont="1" applyFill="1" applyBorder="1" applyAlignment="1">
      <alignment horizontal="center" vertical="center" wrapText="1"/>
    </xf>
    <xf numFmtId="178" fontId="9" fillId="3" borderId="3" xfId="1" applyNumberFormat="1" applyFont="1" applyFill="1" applyBorder="1" applyAlignment="1">
      <alignment horizontal="center" vertical="center" wrapText="1"/>
    </xf>
    <xf numFmtId="178" fontId="8" fillId="4" borderId="1" xfId="1" applyNumberFormat="1" applyFont="1" applyFill="1" applyBorder="1" applyAlignment="1">
      <alignment horizontal="right" vertical="center" wrapText="1"/>
    </xf>
    <xf numFmtId="177" fontId="8" fillId="4" borderId="1" xfId="1" applyNumberFormat="1" applyFont="1" applyFill="1" applyBorder="1" applyAlignment="1">
      <alignment horizontal="right" vertical="center" wrapText="1"/>
    </xf>
    <xf numFmtId="178" fontId="8" fillId="4" borderId="2" xfId="1" applyNumberFormat="1" applyFont="1" applyFill="1" applyBorder="1" applyAlignment="1">
      <alignment horizontal="right" vertical="center" wrapText="1"/>
    </xf>
    <xf numFmtId="177" fontId="8" fillId="4" borderId="2" xfId="1" applyNumberFormat="1" applyFont="1" applyFill="1" applyBorder="1" applyAlignment="1">
      <alignment horizontal="right" vertical="center" wrapText="1"/>
    </xf>
    <xf numFmtId="178" fontId="8" fillId="4" borderId="3" xfId="1" applyNumberFormat="1" applyFont="1" applyFill="1" applyBorder="1" applyAlignment="1">
      <alignment horizontal="right" vertical="center" wrapText="1"/>
    </xf>
    <xf numFmtId="177" fontId="8" fillId="4" borderId="3" xfId="1" applyNumberFormat="1" applyFont="1" applyFill="1" applyBorder="1" applyAlignment="1">
      <alignment horizontal="right" vertical="center" wrapText="1"/>
    </xf>
    <xf numFmtId="0" fontId="4" fillId="3" borderId="0" xfId="1" applyFont="1" applyFill="1" applyAlignment="1">
      <alignment vertical="center" wrapText="1"/>
    </xf>
    <xf numFmtId="0" fontId="7" fillId="4" borderId="0" xfId="1" applyFont="1" applyFill="1" applyAlignment="1">
      <alignment vertical="center" wrapText="1"/>
    </xf>
    <xf numFmtId="0" fontId="2" fillId="2" borderId="0" xfId="1" applyFont="1" applyFill="1" applyAlignment="1">
      <alignment vertical="center"/>
    </xf>
    <xf numFmtId="0" fontId="8" fillId="4" borderId="0" xfId="1" applyFont="1" applyFill="1" applyAlignment="1">
      <alignment vertical="center" wrapText="1"/>
    </xf>
    <xf numFmtId="0" fontId="10" fillId="4" borderId="0" xfId="1" applyFont="1" applyFill="1" applyAlignment="1">
      <alignment vertical="center" wrapText="1"/>
    </xf>
    <xf numFmtId="0" fontId="1" fillId="2" borderId="0" xfId="1" applyFont="1" applyFill="1" applyAlignment="1">
      <alignment vertical="center"/>
    </xf>
    <xf numFmtId="0" fontId="3" fillId="0" borderId="0" xfId="1" applyFont="1" applyAlignment="1">
      <alignment vertical="center" wrapText="1"/>
    </xf>
    <xf numFmtId="0" fontId="6" fillId="4" borderId="0" xfId="1" applyFont="1" applyFill="1" applyAlignment="1">
      <alignment horizontal="center" vertical="center"/>
    </xf>
    <xf numFmtId="0" fontId="5" fillId="4" borderId="0" xfId="1" applyFont="1" applyFill="1"/>
    <xf numFmtId="178" fontId="6" fillId="4" borderId="0" xfId="1" applyNumberFormat="1" applyFont="1" applyFill="1" applyAlignment="1">
      <alignment horizontal="center" vertical="center"/>
    </xf>
    <xf numFmtId="177" fontId="6" fillId="4" borderId="0" xfId="1" applyNumberFormat="1" applyFont="1" applyFill="1" applyAlignment="1">
      <alignment horizontal="center" vertical="center"/>
    </xf>
  </cellXfs>
  <cellStyles count="2">
    <cellStyle name="Normal" xfId="1" xr:uid="{00000000-0005-0000-0000-000000000000}"/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279400</xdr:colOff>
      <xdr:row>0</xdr:row>
      <xdr:rowOff>25400</xdr:rowOff>
    </xdr:from>
    <xdr:to>
      <xdr:col>2</xdr:col>
      <xdr:colOff>660400</xdr:colOff>
      <xdr:row>0</xdr:row>
      <xdr:rowOff>406400</xdr:rowOff>
    </xdr:to>
    <xdr:pic>
      <xdr:nvPicPr>
        <xdr:cNvPr id="3" name="LockholderBankLogoIcon">
          <a:extLst>
            <a:ext uri="{FF2B5EF4-FFF2-40B4-BE49-F238E27FC236}">
              <a16:creationId xmlns:a16="http://schemas.microsoft.com/office/drawing/2014/main" id="{8C48F9E3-0C92-24C8-1EE5-50B3D3D06A2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80000" y="25400"/>
          <a:ext cx="381000" cy="381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70B7D5"/>
  </sheetPr>
  <dimension ref="A1:L20"/>
  <sheetViews>
    <sheetView showGridLines="0" tabSelected="1" workbookViewId="0">
      <pane ySplit="8" topLeftCell="A9" activePane="bottomLeft" state="frozen"/>
      <selection pane="bottomLeft" sqref="A1:L1"/>
    </sheetView>
  </sheetViews>
  <sheetFormatPr defaultRowHeight="13.8"/>
  <cols>
    <col min="1" max="1" width="19" customWidth="1"/>
    <col min="2" max="2" width="44" customWidth="1"/>
    <col min="3" max="8" width="11" customWidth="1"/>
    <col min="9" max="11" width="13" customWidth="1"/>
    <col min="12" max="12" width="11" customWidth="1"/>
  </cols>
  <sheetData>
    <row r="1" spans="1:12" ht="34.049999999999997" customHeight="1">
      <c r="A1" s="23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</row>
    <row r="2" spans="1:12" ht="31.95" customHeight="1">
      <c r="A2" s="24" t="s">
        <v>1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</row>
    <row r="3" spans="1:12">
      <c r="A3" s="1" t="s">
        <v>2</v>
      </c>
      <c r="B3" s="2"/>
      <c r="C3" s="1" t="s">
        <v>3</v>
      </c>
      <c r="D3" s="3"/>
    </row>
    <row r="4" spans="1:12" ht="26.4">
      <c r="A4" s="4" t="s">
        <v>4</v>
      </c>
      <c r="B4" s="2"/>
      <c r="D4" s="4" t="s">
        <v>5</v>
      </c>
      <c r="E4" s="2"/>
      <c r="G4" s="4" t="s">
        <v>6</v>
      </c>
      <c r="H4" s="2"/>
      <c r="J4" s="4" t="s">
        <v>7</v>
      </c>
      <c r="K4" s="2"/>
      <c r="L4" s="2"/>
    </row>
    <row r="5" spans="1:12" ht="34.049999999999997" customHeight="1">
      <c r="A5" s="25">
        <f>COUNT(I9:I13)</f>
        <v>0</v>
      </c>
      <c r="B5" s="26"/>
      <c r="D5" s="27" t="str">
        <f>IF(COUNT(I9:I13)&lt;5,"",SUM(I9:I13))</f>
        <v/>
      </c>
      <c r="E5" s="26"/>
      <c r="G5" s="27" t="str">
        <f>IF(COUNT(J9:J13)&lt;5,"",SUM(J9:J13))</f>
        <v/>
      </c>
      <c r="H5" s="26"/>
      <c r="J5" s="28" t="str">
        <f>IF(OR(COUNT(I9:I13)&lt;5,COUNT(J9:J13)&lt;5,SUM(I9:I13)=0),"",(SUM(I9:I13)-SUM(J9:J13))/SUM(I9:I13))</f>
        <v/>
      </c>
      <c r="K5" s="26"/>
      <c r="L5" s="26"/>
    </row>
    <row r="6" spans="1:12" ht="30" customHeight="1">
      <c r="A6" s="18" t="s">
        <v>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</row>
    <row r="7" spans="1:12" ht="27" customHeight="1">
      <c r="A7" s="19" t="s">
        <v>9</v>
      </c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</row>
    <row r="8" spans="1:12" ht="37.950000000000003" customHeight="1">
      <c r="A8" s="5" t="s">
        <v>10</v>
      </c>
      <c r="B8" s="5" t="s">
        <v>11</v>
      </c>
      <c r="C8" s="5" t="s">
        <v>12</v>
      </c>
      <c r="D8" s="5" t="s">
        <v>13</v>
      </c>
      <c r="E8" s="5" t="s">
        <v>14</v>
      </c>
      <c r="F8" s="5" t="s">
        <v>15</v>
      </c>
      <c r="G8" s="5" t="s">
        <v>16</v>
      </c>
      <c r="H8" s="5" t="s">
        <v>17</v>
      </c>
      <c r="I8" s="5" t="s">
        <v>18</v>
      </c>
      <c r="J8" s="5" t="s">
        <v>19</v>
      </c>
      <c r="K8" s="5" t="s">
        <v>20</v>
      </c>
      <c r="L8" s="5" t="s">
        <v>21</v>
      </c>
    </row>
    <row r="9" spans="1:12" ht="42" customHeight="1">
      <c r="A9" s="6" t="s">
        <v>22</v>
      </c>
      <c r="B9" s="6" t="s">
        <v>23</v>
      </c>
      <c r="C9" s="9"/>
      <c r="D9" s="9"/>
      <c r="E9" s="9"/>
      <c r="F9" s="9"/>
      <c r="G9" s="9"/>
      <c r="H9" s="9"/>
      <c r="I9" s="12" t="str">
        <f>IF(COUNT(C9:E9)&lt;3,"",AVERAGE(C9:E9))</f>
        <v/>
      </c>
      <c r="J9" s="12" t="str">
        <f>IF(COUNT(F9:H9)&lt;3,"",AVERAGE(F9:H9))</f>
        <v/>
      </c>
      <c r="K9" s="12" t="str">
        <f>IF(COUNT(I9:J9)&lt;2,"",I9-J9)</f>
        <v/>
      </c>
      <c r="L9" s="13" t="str">
        <f>IF(OR(COUNT(I9:J9)&lt;2,I9=0),"",K9/I9)</f>
        <v/>
      </c>
    </row>
    <row r="10" spans="1:12" ht="42" customHeight="1">
      <c r="A10" s="7" t="s">
        <v>24</v>
      </c>
      <c r="B10" s="7" t="s">
        <v>25</v>
      </c>
      <c r="C10" s="10"/>
      <c r="D10" s="10"/>
      <c r="E10" s="10"/>
      <c r="F10" s="10"/>
      <c r="G10" s="10"/>
      <c r="H10" s="10"/>
      <c r="I10" s="14" t="str">
        <f>IF(COUNT(C10:E10)&lt;3,"",AVERAGE(C10:E10))</f>
        <v/>
      </c>
      <c r="J10" s="14" t="str">
        <f>IF(COUNT(F10:H10)&lt;3,"",AVERAGE(F10:H10))</f>
        <v/>
      </c>
      <c r="K10" s="14" t="str">
        <f>IF(COUNT(I10:J10)&lt;2,"",I10-J10)</f>
        <v/>
      </c>
      <c r="L10" s="15" t="str">
        <f>IF(OR(COUNT(I10:J10)&lt;2,I10=0),"",K10/I10)</f>
        <v/>
      </c>
    </row>
    <row r="11" spans="1:12" ht="42" customHeight="1">
      <c r="A11" s="7" t="s">
        <v>26</v>
      </c>
      <c r="B11" s="7" t="s">
        <v>27</v>
      </c>
      <c r="C11" s="10"/>
      <c r="D11" s="10"/>
      <c r="E11" s="10"/>
      <c r="F11" s="10"/>
      <c r="G11" s="10"/>
      <c r="H11" s="10"/>
      <c r="I11" s="14" t="str">
        <f>IF(COUNT(C11:E11)&lt;3,"",AVERAGE(C11:E11))</f>
        <v/>
      </c>
      <c r="J11" s="14" t="str">
        <f>IF(COUNT(F11:H11)&lt;3,"",AVERAGE(F11:H11))</f>
        <v/>
      </c>
      <c r="K11" s="14" t="str">
        <f>IF(COUNT(I11:J11)&lt;2,"",I11-J11)</f>
        <v/>
      </c>
      <c r="L11" s="15" t="str">
        <f>IF(OR(COUNT(I11:J11)&lt;2,I11=0),"",K11/I11)</f>
        <v/>
      </c>
    </row>
    <row r="12" spans="1:12" ht="42" customHeight="1">
      <c r="A12" s="7" t="s">
        <v>28</v>
      </c>
      <c r="B12" s="7" t="s">
        <v>29</v>
      </c>
      <c r="C12" s="10"/>
      <c r="D12" s="10"/>
      <c r="E12" s="10"/>
      <c r="F12" s="10"/>
      <c r="G12" s="10"/>
      <c r="H12" s="10"/>
      <c r="I12" s="14" t="str">
        <f>IF(COUNT(C12:E12)&lt;3,"",AVERAGE(C12:E12))</f>
        <v/>
      </c>
      <c r="J12" s="14" t="str">
        <f>IF(COUNT(F12:H12)&lt;3,"",AVERAGE(F12:H12))</f>
        <v/>
      </c>
      <c r="K12" s="14" t="str">
        <f>IF(COUNT(I12:J12)&lt;2,"",I12-J12)</f>
        <v/>
      </c>
      <c r="L12" s="15" t="str">
        <f>IF(OR(COUNT(I12:J12)&lt;2,I12=0),"",K12/I12)</f>
        <v/>
      </c>
    </row>
    <row r="13" spans="1:12" ht="42" customHeight="1">
      <c r="A13" s="8" t="s">
        <v>30</v>
      </c>
      <c r="B13" s="8" t="s">
        <v>31</v>
      </c>
      <c r="C13" s="11"/>
      <c r="D13" s="11"/>
      <c r="E13" s="11"/>
      <c r="F13" s="11"/>
      <c r="G13" s="11"/>
      <c r="H13" s="11"/>
      <c r="I13" s="16" t="str">
        <f>IF(COUNT(C13:E13)&lt;3,"",AVERAGE(C13:E13))</f>
        <v/>
      </c>
      <c r="J13" s="16" t="str">
        <f>IF(COUNT(F13:H13)&lt;3,"",AVERAGE(F13:H13))</f>
        <v/>
      </c>
      <c r="K13" s="16" t="str">
        <f>IF(COUNT(I13:J13)&lt;2,"",I13-J13)</f>
        <v/>
      </c>
      <c r="L13" s="17" t="str">
        <f>IF(OR(COUNT(I13:J13)&lt;2,I13=0),"",K13/I13)</f>
        <v/>
      </c>
    </row>
    <row r="15" spans="1:12">
      <c r="A15" s="20" t="s">
        <v>32</v>
      </c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</row>
    <row r="16" spans="1:12" ht="25.05" customHeight="1">
      <c r="A16" s="21" t="s">
        <v>33</v>
      </c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</row>
    <row r="17" spans="1:12" ht="25.05" customHeight="1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</row>
    <row r="18" spans="1:12" ht="25.05" customHeight="1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</row>
    <row r="20" spans="1:12" ht="40.049999999999997" customHeight="1">
      <c r="A20" s="22" t="s">
        <v>34</v>
      </c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</row>
  </sheetData>
  <mergeCells count="11">
    <mergeCell ref="A1:L1"/>
    <mergeCell ref="A2:L2"/>
    <mergeCell ref="A5:B5"/>
    <mergeCell ref="D5:E5"/>
    <mergeCell ref="G5:H5"/>
    <mergeCell ref="J5:L5"/>
    <mergeCell ref="A6:L6"/>
    <mergeCell ref="A7:L7"/>
    <mergeCell ref="A15:L15"/>
    <mergeCell ref="A16:L18"/>
    <mergeCell ref="A20:L20"/>
  </mergeCells>
  <phoneticPr fontId="1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時間比較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冠智 廖</cp:lastModifiedBy>
  <dcterms:modified xsi:type="dcterms:W3CDTF">2026-10-24T01:53:58Z</dcterms:modified>
</cp:coreProperties>
</file>