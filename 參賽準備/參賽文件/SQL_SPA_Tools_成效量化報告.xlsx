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caf3548a4d45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時間比較" sheetId="1" r:id="R774f0088ecab4c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%"/>
    <x:numFmt numFmtId="202" formatCode="0.0"/>
  </x:numFmts>
  <x:fonts count="16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96B76"/>
      <x:name val="Carlito"/>
    </x:font>
    <x:font>
      <x:b/>
      <x:sz val="10"/>
      <x:color rgb="FF12304A"/>
      <x:name val="Carlito"/>
    </x:font>
    <x:font>
      <x:b/>
      <x:sz val="16"/>
      <x:color rgb="FF16877E"/>
      <x:name val="Carlito"/>
    </x:font>
    <x:font>
      <x:sz val="10"/>
      <x:color rgb="FF26343C"/>
      <x:name val="Carlito"/>
    </x:font>
    <x:font>
      <x:b/>
      <x:sz val="10"/>
      <x:color rgb="FFFFFFFF"/>
      <x:name val="Carlito"/>
    </x:font>
    <x:font>
      <x:i/>
      <x:sz val="9"/>
      <x:color rgb="FF596B76"/>
      <x:name val="Carlito"/>
    </x:font>
    <x:font>
      <x:i/>
      <x:sz val="10"/>
      <x:color rgb="FF59656E"/>
      <x:name val="Carlito"/>
    </x:font>
    <x:font>
      <x:b/>
      <x:sz val="10"/>
      <x:color rgb="FF202A33"/>
      <x:name val="Carlito"/>
    </x:font>
    <x:font>
      <x:sz val="11"/>
      <x:color rgb="FF202A33"/>
      <x:name val="Carlito"/>
    </x:font>
    <x:font>
      <x:b/>
      <x:sz val="16"/>
      <x:color rgb="FF202A33"/>
      <x:name val="Carlito"/>
    </x:font>
    <x:font>
      <x:sz val="10"/>
      <x:color rgb="FF59656E"/>
      <x:name val="Carlito"/>
    </x:font>
    <x:font>
      <x:sz val="10"/>
      <x:color rgb="FF25323C"/>
      <x:name val="Carlito"/>
    </x:font>
    <x:font>
      <x:sz val="10"/>
      <x:color rgb="FF202A33"/>
      <x:name val="Carlito"/>
    </x:font>
    <x:font>
      <x:i/>
      <x:sz val="9"/>
      <x:color rgb="FF59656E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FFF2CC"/>
      </x:patternFill>
    </x:fill>
    <x:fill>
      <x:patternFill patternType="solid">
        <x:fgColor rgb="FFE7F1F2"/>
      </x:patternFill>
    </x:fill>
    <x:fill>
      <x:patternFill patternType="solid">
        <x:fgColor rgb="FFF3F6F8"/>
      </x:patternFill>
    </x:fill>
    <x:fill>
      <x:patternFill patternType="solid">
        <x:fgColor rgb="FF202A33"/>
      </x:patternFill>
    </x:fill>
    <x:fill>
      <x:patternFill patternType="solid">
        <x:fgColor rgb="FFEAF3F7"/>
      </x:patternFill>
    </x:fill>
    <x:fill>
      <x:patternFill patternType="solid">
        <x:fgColor rgb="FFF7FAFC"/>
      </x:patternFill>
    </x:fill>
    <x:fill>
      <x:patternFill patternType="solid">
        <x:fgColor rgb="FF202A33"/>
      </x:patternFill>
    </x:fill>
    <x:fill>
      <x:patternFill patternType="solid">
        <x:fgColor rgb="FFEAF3F7"/>
      </x:patternFill>
    </x:fill>
    <x:fill>
      <x:patternFill patternType="solid">
        <x:fgColor rgb="FFF7FAFC"/>
      </x:patternFill>
    </x:fill>
  </x:fills>
  <x:borders count="7">
    <x:border>
      <x:left/>
      <x:right/>
      <x:top/>
      <x:bottom/>
      <x:diagonal/>
    </x:border>
    <x:border>
      <x:left/>
      <x:right/>
      <x:top/>
      <x:bottom style="thin">
        <x:color rgb="FFD5DEE2"/>
      </x:bottom>
      <x:diagonal/>
    </x:border>
    <x:border>
      <x:left/>
      <x:right/>
      <x:top style="thin">
        <x:color rgb="FFD5DEE2"/>
      </x:top>
      <x:bottom style="thin">
        <x:color rgb="FFD5DEE2"/>
      </x:bottom>
      <x:diagonal/>
    </x:border>
    <x:border>
      <x:left/>
      <x:right/>
      <x:top style="thin">
        <x:color rgb="FFD5DEE2"/>
      </x:top>
      <x:bottom/>
      <x:diagonal/>
    </x:border>
    <x:border>
      <x:left/>
      <x:right/>
      <x:top/>
      <x:bottom style="thin">
        <x:color rgb="FFD8E0E6"/>
      </x:bottom>
      <x:diagonal/>
    </x:border>
    <x:border>
      <x:left/>
      <x:right/>
      <x:top style="thin">
        <x:color rgb="FFD8E0E6"/>
      </x:top>
      <x:bottom style="thin">
        <x:color rgb="FFD8E0E6"/>
      </x:bottom>
      <x:diagonal/>
    </x:border>
    <x:border>
      <x:left/>
      <x:right/>
      <x:top style="thin">
        <x:color rgb="FFD8E0E6"/>
      </x:top>
      <x:bottom/>
      <x:diagonal/>
    </x:border>
  </x:borders>
  <x:cellStyleXfs count="1">
    <x:xf numFmtId="0" fontId="0" fillId="0" borderId="0"/>
  </x:cellStyleXfs>
  <x:cellXfs count="1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201" fontId="4" fillId="5" borderId="0" xfId="0" applyNumberFormat="1" applyFont="1" applyFill="1" applyBorder="1" applyAlignment="1">
      <x:alignment horizontal="center" vertical="center"/>
    </x:xf>
    <x:xf numFmtId="202" fontId="4" fillId="5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 wrapText="1"/>
    </x:xf>
    <x:xf numFmtId="0" fontId="5" fillId="4" borderId="1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horizontal="right" vertical="center" wrapText="1"/>
    </x:xf>
    <x:xf numFmtId="0" fontId="5" fillId="4" borderId="2" xfId="0" applyNumberFormat="1" applyFont="1" applyFill="1" applyBorder="1" applyAlignment="1">
      <x:alignment horizontal="right" vertical="center" wrapText="1"/>
    </x:xf>
    <x:xf numFmtId="0" fontId="5" fillId="4" borderId="3" xfId="0" applyNumberFormat="1" applyFont="1" applyFill="1" applyBorder="1" applyAlignment="1">
      <x:alignment horizontal="right" vertical="center" wrapText="1"/>
    </x:xf>
    <x:xf numFmtId="202" fontId="5" fillId="3" borderId="1" xfId="0" applyNumberFormat="1" applyFont="1" applyFill="1" applyBorder="1" applyAlignment="1">
      <x:alignment horizontal="center" vertical="center" wrapText="1"/>
    </x:xf>
    <x:xf numFmtId="202" fontId="5" fillId="4" borderId="1" xfId="0" applyNumberFormat="1" applyFont="1" applyFill="1" applyBorder="1" applyAlignment="1">
      <x:alignment horizontal="right" vertical="center" wrapText="1"/>
    </x:xf>
    <x:xf numFmtId="202" fontId="5" fillId="3" borderId="2" xfId="0" applyNumberFormat="1" applyFont="1" applyFill="1" applyBorder="1" applyAlignment="1">
      <x:alignment horizontal="center" vertical="center" wrapText="1"/>
    </x:xf>
    <x:xf numFmtId="202" fontId="5" fillId="4" borderId="2" xfId="0" applyNumberFormat="1" applyFont="1" applyFill="1" applyBorder="1" applyAlignment="1">
      <x:alignment horizontal="right" vertical="center" wrapText="1"/>
    </x:xf>
    <x:xf numFmtId="202" fontId="5" fillId="3" borderId="3" xfId="0" applyNumberFormat="1" applyFont="1" applyFill="1" applyBorder="1" applyAlignment="1">
      <x:alignment horizontal="center" vertical="center" wrapText="1"/>
    </x:xf>
    <x:xf numFmtId="202" fontId="5" fillId="4" borderId="3" xfId="0" applyNumberFormat="1" applyFont="1" applyFill="1" applyBorder="1" applyAlignment="1">
      <x:alignment horizontal="right" vertical="center" wrapText="1"/>
    </x:xf>
    <x:xf numFmtId="201" fontId="5" fillId="4" borderId="1" xfId="0" applyNumberFormat="1" applyFont="1" applyFill="1" applyBorder="1" applyAlignment="1">
      <x:alignment horizontal="right" vertical="center" wrapText="1"/>
    </x:xf>
    <x:xf numFmtId="201" fontId="5" fillId="4" borderId="2" xfId="0" applyNumberFormat="1" applyFont="1" applyFill="1" applyBorder="1" applyAlignment="1">
      <x:alignment horizontal="right" vertical="center" wrapText="1"/>
    </x:xf>
    <x:xf numFmtId="201" fontId="5" fillId="4" borderId="3" xfId="0" applyNumberFormat="1" applyFont="1" applyFill="1" applyBorder="1" applyAlignment="1">
      <x:alignment horizontal="right"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/>
    <x:xf numFmtId="200" fontId="10" fillId="3" borderId="0" xfId="0" applyNumberFormat="1" applyFont="1" applyFill="1" applyBorder="1"/>
    <x:xf numFmtId="0" fontId="10" fillId="7" borderId="0" xfId="0" applyNumberFormat="1" applyFont="1" applyFill="1" applyBorder="1"/>
    <x:xf numFmtId="200" fontId="10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 vertical="center" wrapText="1"/>
    </x:xf>
    <x:xf numFmtId="0" fontId="4" fillId="8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 applyAlignment="1">
      <x:alignment horizontal="center" vertical="center"/>
    </x:xf>
    <x:xf numFmtId="0" fontId="10" fillId="8" borderId="0" xfId="0" applyNumberFormat="1" applyFont="1" applyFill="1" applyBorder="1"/>
    <x:xf numFmtId="202" fontId="4" fillId="8" borderId="0" xfId="0" applyNumberFormat="1" applyFont="1" applyFill="1" applyBorder="1" applyAlignment="1">
      <x:alignment horizontal="center" vertical="center"/>
    </x:xf>
    <x:xf numFmtId="202" fontId="11" fillId="8" borderId="0" xfId="0" applyNumberFormat="1" applyFont="1" applyFill="1" applyBorder="1" applyAlignment="1">
      <x:alignment horizontal="center" vertical="center"/>
    </x:xf>
    <x:xf numFmtId="201" fontId="4" fillId="8" borderId="0" xfId="0" applyNumberFormat="1" applyFont="1" applyFill="1" applyBorder="1" applyAlignment="1">
      <x:alignment horizontal="center" vertical="center"/>
    </x:xf>
    <x:xf numFmtId="201" fontId="11" fillId="8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vertical="center" wrapText="1"/>
    </x:xf>
    <x:xf numFmtId="0" fontId="5" fillId="8" borderId="2" xfId="0" applyNumberFormat="1" applyFont="1" applyFill="1" applyBorder="1" applyAlignment="1">
      <x:alignment vertical="center" wrapText="1"/>
    </x:xf>
    <x:xf numFmtId="0" fontId="5" fillId="8" borderId="3" xfId="0" applyNumberFormat="1" applyFont="1" applyFill="1" applyBorder="1" applyAlignment="1">
      <x:alignment vertical="center" wrapText="1"/>
    </x:xf>
    <x:xf numFmtId="0" fontId="13" fillId="8" borderId="1" xfId="0" applyNumberFormat="1" applyFont="1" applyFill="1" applyBorder="1" applyAlignment="1">
      <x:alignment vertical="center" wrapText="1"/>
    </x:xf>
    <x:xf numFmtId="0" fontId="13" fillId="8" borderId="2" xfId="0" applyNumberFormat="1" applyFont="1" applyFill="1" applyBorder="1" applyAlignment="1">
      <x:alignment vertical="center" wrapText="1"/>
    </x:xf>
    <x:xf numFmtId="0" fontId="13" fillId="8" borderId="3" xfId="0" applyNumberFormat="1" applyFont="1" applyFill="1" applyBorder="1" applyAlignment="1">
      <x:alignment vertical="center" wrapText="1"/>
    </x:xf>
    <x:xf numFmtId="202" fontId="5" fillId="7" borderId="1" xfId="0" applyNumberFormat="1" applyFont="1" applyFill="1" applyBorder="1" applyAlignment="1">
      <x:alignment horizontal="center" vertical="center" wrapText="1"/>
    </x:xf>
    <x:xf numFmtId="202" fontId="5" fillId="7" borderId="2" xfId="0" applyNumberFormat="1" applyFont="1" applyFill="1" applyBorder="1" applyAlignment="1">
      <x:alignment horizontal="center" vertical="center" wrapText="1"/>
    </x:xf>
    <x:xf numFmtId="202" fontId="5" fillId="7" borderId="3" xfId="0" applyNumberFormat="1" applyFont="1" applyFill="1" applyBorder="1" applyAlignment="1">
      <x:alignment horizontal="center" vertical="center" wrapText="1"/>
    </x:xf>
    <x:xf numFmtId="202" fontId="14" fillId="7" borderId="1" xfId="0" applyNumberFormat="1" applyFont="1" applyFill="1" applyBorder="1" applyAlignment="1">
      <x:alignment horizontal="center" vertical="center" wrapText="1"/>
    </x:xf>
    <x:xf numFmtId="202" fontId="14" fillId="7" borderId="2" xfId="0" applyNumberFormat="1" applyFont="1" applyFill="1" applyBorder="1" applyAlignment="1">
      <x:alignment horizontal="center" vertical="center" wrapText="1"/>
    </x:xf>
    <x:xf numFmtId="202" fontId="14" fillId="7" borderId="3" xfId="0" applyNumberFormat="1" applyFont="1" applyFill="1" applyBorder="1" applyAlignment="1">
      <x:alignment horizontal="center" vertical="center" wrapText="1"/>
    </x:xf>
    <x:xf numFmtId="202" fontId="5" fillId="8" borderId="1" xfId="0" applyNumberFormat="1" applyFont="1" applyFill="1" applyBorder="1" applyAlignment="1">
      <x:alignment horizontal="right" vertical="center" wrapText="1"/>
    </x:xf>
    <x:xf numFmtId="201" fontId="5" fillId="8" borderId="1" xfId="0" applyNumberFormat="1" applyFont="1" applyFill="1" applyBorder="1" applyAlignment="1">
      <x:alignment horizontal="right" vertical="center" wrapText="1"/>
    </x:xf>
    <x:xf numFmtId="202" fontId="5" fillId="8" borderId="2" xfId="0" applyNumberFormat="1" applyFont="1" applyFill="1" applyBorder="1" applyAlignment="1">
      <x:alignment horizontal="right" vertical="center" wrapText="1"/>
    </x:xf>
    <x:xf numFmtId="201" fontId="5" fillId="8" borderId="2" xfId="0" applyNumberFormat="1" applyFont="1" applyFill="1" applyBorder="1" applyAlignment="1">
      <x:alignment horizontal="right" vertical="center" wrapText="1"/>
    </x:xf>
    <x:xf numFmtId="202" fontId="5" fillId="8" borderId="3" xfId="0" applyNumberFormat="1" applyFont="1" applyFill="1" applyBorder="1" applyAlignment="1">
      <x:alignment horizontal="right" vertical="center" wrapText="1"/>
    </x:xf>
    <x:xf numFmtId="201" fontId="5" fillId="8" borderId="3" xfId="0" applyNumberFormat="1" applyFont="1" applyFill="1" applyBorder="1" applyAlignment="1">
      <x:alignment horizontal="right" vertical="center" wrapText="1"/>
    </x:xf>
    <x:xf numFmtId="202" fontId="13" fillId="8" borderId="1" xfId="0" applyNumberFormat="1" applyFont="1" applyFill="1" applyBorder="1" applyAlignment="1">
      <x:alignment horizontal="right" vertical="center" wrapText="1"/>
    </x:xf>
    <x:xf numFmtId="201" fontId="13" fillId="8" borderId="1" xfId="0" applyNumberFormat="1" applyFont="1" applyFill="1" applyBorder="1" applyAlignment="1">
      <x:alignment horizontal="right" vertical="center" wrapText="1"/>
    </x:xf>
    <x:xf numFmtId="202" fontId="13" fillId="8" borderId="2" xfId="0" applyNumberFormat="1" applyFont="1" applyFill="1" applyBorder="1" applyAlignment="1">
      <x:alignment horizontal="right" vertical="center" wrapText="1"/>
    </x:xf>
    <x:xf numFmtId="201" fontId="13" fillId="8" borderId="2" xfId="0" applyNumberFormat="1" applyFont="1" applyFill="1" applyBorder="1" applyAlignment="1">
      <x:alignment horizontal="right" vertical="center" wrapText="1"/>
    </x:xf>
    <x:xf numFmtId="202" fontId="13" fillId="8" borderId="3" xfId="0" applyNumberFormat="1" applyFont="1" applyFill="1" applyBorder="1" applyAlignment="1">
      <x:alignment horizontal="right" vertical="center" wrapText="1"/>
    </x:xf>
    <x:xf numFmtId="201" fontId="13" fillId="8" borderId="3" xfId="0" applyNumberFormat="1" applyFont="1" applyFill="1" applyBorder="1" applyAlignment="1">
      <x:alignment horizontal="right" vertical="center" wrapText="1"/>
    </x:xf>
    <x:xf numFmtId="0" fontId="13" fillId="8" borderId="4" xfId="0" applyNumberFormat="1" applyFont="1" applyFill="1" applyBorder="1" applyAlignment="1">
      <x:alignment vertical="center" wrapText="1"/>
    </x:xf>
    <x:xf numFmtId="202" fontId="14" fillId="7" borderId="4" xfId="0" applyNumberFormat="1" applyFont="1" applyFill="1" applyBorder="1" applyAlignment="1">
      <x:alignment horizontal="center" vertical="center" wrapText="1"/>
    </x:xf>
    <x:xf numFmtId="202" fontId="13" fillId="8" borderId="4" xfId="0" applyNumberFormat="1" applyFont="1" applyFill="1" applyBorder="1" applyAlignment="1">
      <x:alignment horizontal="right" vertical="center" wrapText="1"/>
    </x:xf>
    <x:xf numFmtId="201" fontId="13" fillId="8" borderId="4" xfId="0" applyNumberFormat="1" applyFont="1" applyFill="1" applyBorder="1" applyAlignment="1">
      <x:alignment horizontal="right" vertical="center" wrapText="1"/>
    </x:xf>
    <x:xf numFmtId="0" fontId="13" fillId="8" borderId="5" xfId="0" applyNumberFormat="1" applyFont="1" applyFill="1" applyBorder="1" applyAlignment="1">
      <x:alignment vertical="center" wrapText="1"/>
    </x:xf>
    <x:xf numFmtId="202" fontId="14" fillId="7" borderId="5" xfId="0" applyNumberFormat="1" applyFont="1" applyFill="1" applyBorder="1" applyAlignment="1">
      <x:alignment horizontal="center" vertical="center" wrapText="1"/>
    </x:xf>
    <x:xf numFmtId="202" fontId="13" fillId="8" borderId="5" xfId="0" applyNumberFormat="1" applyFont="1" applyFill="1" applyBorder="1" applyAlignment="1">
      <x:alignment horizontal="right" vertical="center" wrapText="1"/>
    </x:xf>
    <x:xf numFmtId="201" fontId="13" fillId="8" borderId="5" xfId="0" applyNumberFormat="1" applyFont="1" applyFill="1" applyBorder="1" applyAlignment="1">
      <x:alignment horizontal="right" vertical="center" wrapText="1"/>
    </x:xf>
    <x:xf numFmtId="0" fontId="13" fillId="8" borderId="6" xfId="0" applyNumberFormat="1" applyFont="1" applyFill="1" applyBorder="1" applyAlignment="1">
      <x:alignment vertical="center" wrapText="1"/>
    </x:xf>
    <x:xf numFmtId="202" fontId="14" fillId="7" borderId="6" xfId="0" applyNumberFormat="1" applyFont="1" applyFill="1" applyBorder="1" applyAlignment="1">
      <x:alignment horizontal="center" vertical="center" wrapText="1"/>
    </x:xf>
    <x:xf numFmtId="202" fontId="13" fillId="8" borderId="6" xfId="0" applyNumberFormat="1" applyFont="1" applyFill="1" applyBorder="1" applyAlignment="1">
      <x:alignment horizontal="right" vertical="center" wrapText="1"/>
    </x:xf>
    <x:xf numFmtId="201" fontId="13" fillId="8" borderId="6" xfId="0" applyNumberFormat="1" applyFont="1" applyFill="1" applyBorder="1" applyAlignment="1">
      <x:alignment horizontal="right" vertical="center" wrapText="1"/>
    </x:xf>
    <x:xf numFmtId="0" fontId="6" fillId="6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 wrapText="1"/>
    </x:xf>
    <x:xf numFmtId="0" fontId="7" fillId="8" borderId="0" xfId="0" applyNumberFormat="1" applyFont="1" applyFill="1" applyBorder="1" applyAlignment="1">
      <x:alignment vertical="center" wrapText="1"/>
    </x:xf>
    <x:xf numFmtId="0" fontId="15" fillId="8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/>
    <x:xf numFmtId="200" fontId="10" fillId="10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 vertical="center" wrapText="1"/>
    </x:xf>
    <x:xf numFmtId="0" fontId="11" fillId="11" borderId="0" xfId="0" applyNumberFormat="1" applyFont="1" applyFill="1" applyBorder="1" applyAlignment="1">
      <x:alignment horizontal="center" vertical="center"/>
    </x:xf>
    <x:xf numFmtId="0" fontId="10" fillId="11" borderId="0" xfId="0" applyNumberFormat="1" applyFont="1" applyFill="1" applyBorder="1"/>
    <x:xf numFmtId="202" fontId="11" fillId="11" borderId="0" xfId="0" applyNumberFormat="1" applyFont="1" applyFill="1" applyBorder="1" applyAlignment="1">
      <x:alignment horizontal="center" vertical="center"/>
    </x:xf>
    <x:xf numFmtId="201" fontId="11" fillId="11" borderId="0" xfId="0" applyNumberFormat="1" applyFont="1" applyFill="1" applyBorder="1" applyAlignment="1">
      <x:alignment horizontal="center"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11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horizontal="center" vertical="center" wrapText="1"/>
    </x:xf>
    <x:xf numFmtId="0" fontId="13" fillId="11" borderId="4" xfId="0" applyNumberFormat="1" applyFont="1" applyFill="1" applyBorder="1" applyAlignment="1">
      <x:alignment vertical="center" wrapText="1"/>
    </x:xf>
    <x:xf numFmtId="0" fontId="13" fillId="11" borderId="5" xfId="0" applyNumberFormat="1" applyFont="1" applyFill="1" applyBorder="1" applyAlignment="1">
      <x:alignment vertical="center" wrapText="1"/>
    </x:xf>
    <x:xf numFmtId="0" fontId="13" fillId="11" borderId="6" xfId="0" applyNumberFormat="1" applyFont="1" applyFill="1" applyBorder="1" applyAlignment="1">
      <x:alignment vertical="center" wrapText="1"/>
    </x:xf>
    <x:xf numFmtId="202" fontId="14" fillId="10" borderId="4" xfId="0" applyNumberFormat="1" applyFont="1" applyFill="1" applyBorder="1" applyAlignment="1">
      <x:alignment horizontal="center" vertical="center" wrapText="1"/>
    </x:xf>
    <x:xf numFmtId="202" fontId="14" fillId="10" borderId="5" xfId="0" applyNumberFormat="1" applyFont="1" applyFill="1" applyBorder="1" applyAlignment="1">
      <x:alignment horizontal="center" vertical="center" wrapText="1"/>
    </x:xf>
    <x:xf numFmtId="202" fontId="14" fillId="10" borderId="6" xfId="0" applyNumberFormat="1" applyFont="1" applyFill="1" applyBorder="1" applyAlignment="1">
      <x:alignment horizontal="center" vertical="center" wrapText="1"/>
    </x:xf>
    <x:xf numFmtId="202" fontId="13" fillId="11" borderId="4" xfId="0" applyNumberFormat="1" applyFont="1" applyFill="1" applyBorder="1" applyAlignment="1">
      <x:alignment horizontal="right" vertical="center" wrapText="1"/>
    </x:xf>
    <x:xf numFmtId="201" fontId="13" fillId="11" borderId="4" xfId="0" applyNumberFormat="1" applyFont="1" applyFill="1" applyBorder="1" applyAlignment="1">
      <x:alignment horizontal="right" vertical="center" wrapText="1"/>
    </x:xf>
    <x:xf numFmtId="202" fontId="13" fillId="11" borderId="5" xfId="0" applyNumberFormat="1" applyFont="1" applyFill="1" applyBorder="1" applyAlignment="1">
      <x:alignment horizontal="right" vertical="center" wrapText="1"/>
    </x:xf>
    <x:xf numFmtId="201" fontId="13" fillId="11" borderId="5" xfId="0" applyNumberFormat="1" applyFont="1" applyFill="1" applyBorder="1" applyAlignment="1">
      <x:alignment horizontal="right" vertical="center" wrapText="1"/>
    </x:xf>
    <x:xf numFmtId="202" fontId="13" fillId="11" borderId="6" xfId="0" applyNumberFormat="1" applyFont="1" applyFill="1" applyBorder="1" applyAlignment="1">
      <x:alignment horizontal="right" vertical="center" wrapText="1"/>
    </x:xf>
    <x:xf numFmtId="201" fontId="13" fillId="11" borderId="6" xfId="0" applyNumberFormat="1" applyFont="1" applyFill="1" applyBorder="1" applyAlignment="1">
      <x:alignment horizontal="right"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13" fillId="11" borderId="0" xfId="0" applyNumberFormat="1" applyFont="1" applyFill="1" applyBorder="1" applyAlignment="1">
      <x:alignment vertical="center" wrapText="1"/>
    </x:xf>
    <x:xf numFmtId="0" fontId="15" fillId="11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c095b39b1748c1" /><Relationship Type="http://schemas.openxmlformats.org/officeDocument/2006/relationships/theme" Target="/xl/theme/theme1.xml" Id="R9a17df0e17ce4516" /><Relationship Type="http://schemas.openxmlformats.org/officeDocument/2006/relationships/sharedStrings" Target="/xl/sharedStrings.xml" Id="R39973aa95179413c" /><Relationship Type="http://schemas.openxmlformats.org/officeDocument/2006/relationships/worksheet" Target="/xl/worksheets/sheet1.xml" Id="R774f0088ecab4c1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0B7D5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9" hidden="0" customWidth="1"/>
    <x:col min="2" max="2" width="4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3" hidden="0" customWidth="1"/>
    <x:col min="10" max="10" width="13" hidden="0" customWidth="1"/>
    <x:col min="11" max="11" width="13" hidden="0" customWidth="1"/>
    <x:col min="12" max="12" width="11" hidden="0" customWidth="1"/>
  </x:cols>
  <x:sheetData>
    <x:row r="1" ht="34" customHeight="1">
      <x:c r="A1" s="125" t="str">
        <x:v>SQL SPA Tools 風險管理情境成效量化報告</x:v>
      </x:c>
      <x:c r="B1" s="125"/>
      <x:c r="C1" s="125"/>
      <x:c r="D1" s="125"/>
      <x:c r="E1" s="125"/>
      <x:c r="F1" s="125"/>
      <x:c r="G1" s="125"/>
      <x:c r="H1" s="125"/>
      <x:c r="I1" s="125"/>
      <x:c r="J1" s="125"/>
      <x:c r="K1" s="125"/>
      <x:c r="L1" s="125"/>
    </x:row>
    <x:row r="2" ht="32" customHeight="1">
      <x:c r="A2" s="63" t="str">
        <x:v>風險管理覆核情境配對計時：每項工作以相同合成案例完成 3 次人工與 SPA 工具流程。請輸入實測秒數；未完成三次前，平均與改善率維持空白。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</x:row>
    <x:row r="3">
      <x:c r="A3" s="64" t="str">
        <x:v>參與者匿名代碼</x:v>
      </x:c>
      <x:c r="B3" s="126" t="str"/>
      <x:c r="C3" s="64" t="str">
        <x:v>量測日期</x:v>
      </x:c>
      <x:c r="D3" s="127" t="str"/>
    </x:row>
    <x:row r="4">
      <x:c r="A4" s="128" t="str">
        <x:v>完成任務數</x:v>
      </x:c>
      <x:c r="B4" s="126"/>
      <x:c r="D4" s="128" t="str">
        <x:v>人工合計平均秒數</x:v>
      </x:c>
      <x:c r="E4" s="126"/>
      <x:c r="G4" s="128" t="str">
        <x:v>SPA 合計平均秒數</x:v>
      </x:c>
      <x:c r="H4" s="126"/>
      <x:c r="J4" s="128" t="str">
        <x:v>整體改善率</x:v>
      </x:c>
      <x:c r="K4" s="126"/>
      <x:c r="L4" s="126"/>
    </x:row>
    <x:row r="5" ht="34" customHeight="1">
      <x:c r="A5" s="129" t="n">
        <x:f>COUNT(I9:I13)</x:f>
        <x:v>0</x:v>
      </x:c>
      <x:c r="B5" s="130"/>
      <x:c r="D5" s="131" t="str">
        <x:f>IF(COUNT(I9:I13)&lt;5,"",SUM(I9:I13))</x:f>
      </x:c>
      <x:c r="E5" s="130"/>
      <x:c r="G5" s="131" t="str">
        <x:f>IF(COUNT(J9:J13)&lt;5,"",SUM(J9:J13))</x:f>
      </x:c>
      <x:c r="H5" s="130"/>
      <x:c r="J5" s="132" t="str">
        <x:f>IF(OR(COUNT(I9:I13)&lt;5,COUNT(J9:J13)&lt;5,SUM(I9:I13)=0),"",(SUM(I9:I13)-SUM(J9:J13))/SUM(I9:I13))</x:f>
      </x:c>
      <x:c r="K5" s="130"/>
      <x:c r="L5" s="130"/>
    </x:row>
    <x:row r="6" ht="30" customHeight="1">
      <x:c r="A6" s="133" t="str">
        <x:v>主要參賽使用情境：鎖頭銀行風險管理部 Dunk；量測資料仍使用匿名參與者代碼，不記姓名。案例資料須為合成資料。</x:v>
      </x:c>
      <x:c r="B6" s="133"/>
      <x:c r="C6" s="133"/>
      <x:c r="D6" s="133"/>
      <x:c r="E6" s="133"/>
      <x:c r="F6" s="133"/>
      <x:c r="G6" s="133"/>
      <x:c r="H6" s="133"/>
      <x:c r="I6" s="133"/>
      <x:c r="J6" s="133"/>
      <x:c r="K6" s="133"/>
      <x:c r="L6" s="133"/>
    </x:row>
    <x:row r="7" ht="27" customHeight="1">
      <x:c r="A7" s="134" t="str">
        <x:v>輸入區（淺藍）｜結果區（淺底）｜記錄各工具操作與必要結果檢查；不含 Copilot Chat 等待。每次重跑清空前次輸出。</x:v>
      </x:c>
      <x:c r="B7" s="134"/>
      <x:c r="C7" s="134"/>
      <x:c r="D7" s="134"/>
      <x:c r="E7" s="134"/>
      <x:c r="F7" s="134"/>
      <x:c r="G7" s="134"/>
      <x:c r="H7" s="134"/>
      <x:c r="I7" s="134"/>
      <x:c r="J7" s="134"/>
      <x:c r="K7" s="134"/>
      <x:c r="L7" s="134"/>
    </x:row>
    <x:row r="8" ht="38" customHeight="1">
      <x:c r="A8" s="135" t="str">
        <x:v>代表性工具</x:v>
      </x:c>
      <x:c r="B8" s="135" t="str">
        <x:v>固定比較情境</x:v>
      </x:c>
      <x:c r="C8" s="135" t="str">
        <x:v>人工 1 秒</x:v>
      </x:c>
      <x:c r="D8" s="135" t="str">
        <x:v>人工 2 秒</x:v>
      </x:c>
      <x:c r="E8" s="135" t="str">
        <x:v>人工 3 秒</x:v>
      </x:c>
      <x:c r="F8" s="135" t="str">
        <x:v>SPA 1 秒</x:v>
      </x:c>
      <x:c r="G8" s="135" t="str">
        <x:v>SPA 2 秒</x:v>
      </x:c>
      <x:c r="H8" s="135" t="str">
        <x:v>SPA 3 秒</x:v>
      </x:c>
      <x:c r="I8" s="135" t="str">
        <x:v>人工平均秒</x:v>
      </x:c>
      <x:c r="J8" s="135" t="str">
        <x:v>SPA 平均秒</x:v>
      </x:c>
      <x:c r="K8" s="135" t="str">
        <x:v>平均節省秒</x:v>
      </x:c>
      <x:c r="L8" s="135" t="str">
        <x:v>改善率</x:v>
      </x:c>
    </x:row>
    <x:row r="9" ht="42" customHeight="1">
      <x:c r="A9" s="136" t="str">
        <x:v>SQL 差異比對</x:v>
      </x:c>
      <x:c r="B9" s="136" t="str">
        <x:v>比對同一組風險指標 SQL 版本並記錄定義差異</x:v>
      </x:c>
      <x:c r="C9" s="139"/>
      <x:c r="D9" s="139"/>
      <x:c r="E9" s="139"/>
      <x:c r="F9" s="139"/>
      <x:c r="G9" s="139"/>
      <x:c r="H9" s="139"/>
      <x:c r="I9" s="142" t="str">
        <x:f>IF(COUNT(C9:E9)&lt;3,"",AVERAGE(C9:E9))</x:f>
      </x:c>
      <x:c r="J9" s="142" t="str">
        <x:f>IF(COUNT(F9:H9)&lt;3,"",AVERAGE(F9:H9))</x:f>
      </x:c>
      <x:c r="K9" s="142" t="str">
        <x:f>IF(COUNT(I9:J9)&lt;2,"",I9-J9)</x:f>
      </x:c>
      <x:c r="L9" s="143" t="str">
        <x:f>IF(OR(COUNT(I9:J9)&lt;2,I9=0),"",K9/I9)</x:f>
      </x:c>
    </x:row>
    <x:row r="10" ht="42" customHeight="1">
      <x:c r="A10" s="137" t="str">
        <x:v>欄位血緣追蹤</x:v>
      </x:c>
      <x:c r="B10" s="137" t="str">
        <x:v>追溯風險分群欄位與下游風險報表的來源</x:v>
      </x:c>
      <x:c r="C10" s="140"/>
      <x:c r="D10" s="140"/>
      <x:c r="E10" s="140"/>
      <x:c r="F10" s="140"/>
      <x:c r="G10" s="140"/>
      <x:c r="H10" s="140"/>
      <x:c r="I10" s="144" t="str">
        <x:f>IF(COUNT(C10:E10)&lt;3,"",AVERAGE(C10:E10))</x:f>
      </x:c>
      <x:c r="J10" s="144" t="str">
        <x:f>IF(COUNT(F10:H10)&lt;3,"",AVERAGE(F10:H10))</x:f>
      </x:c>
      <x:c r="K10" s="144" t="str">
        <x:f>IF(COUNT(I10:J10)&lt;2,"",I10-J10)</x:f>
      </x:c>
      <x:c r="L10" s="145" t="str">
        <x:f>IF(OR(COUNT(I10:J10)&lt;2,I10=0),"",K10/I10)</x:f>
      </x:c>
    </x:row>
    <x:row r="11" ht="42" customHeight="1">
      <x:c r="A11" s="137" t="str">
        <x:v>資料品質稽核</x:v>
      </x:c>
      <x:c r="B11" s="137" t="str">
        <x:v>檢查合成風險資料的完整性、唯一性與型態規則</x:v>
      </x:c>
      <x:c r="C11" s="140"/>
      <x:c r="D11" s="140"/>
      <x:c r="E11" s="140"/>
      <x:c r="F11" s="140"/>
      <x:c r="G11" s="140"/>
      <x:c r="H11" s="140"/>
      <x:c r="I11" s="144" t="str">
        <x:f>IF(COUNT(C11:E11)&lt;3,"",AVERAGE(C11:E11))</x:f>
      </x:c>
      <x:c r="J11" s="144" t="str">
        <x:f>IF(COUNT(F11:H11)&lt;3,"",AVERAGE(F11:H11))</x:f>
      </x:c>
      <x:c r="K11" s="144" t="str">
        <x:f>IF(COUNT(I11:J11)&lt;2,"",I11-J11)</x:f>
      </x:c>
      <x:c r="L11" s="145" t="str">
        <x:f>IF(OR(COUNT(I11:J11)&lt;2,I11=0),"",K11/I11)</x:f>
      </x:c>
    </x:row>
    <x:row r="12" ht="42" customHeight="1">
      <x:c r="A12" s="137" t="str">
        <x:v>SQL 個資清除</x:v>
      </x:c>
      <x:c r="B12" s="137" t="str">
        <x:v>摘要交接前掃描合成 SQL 與文字中的識別資訊</x:v>
      </x:c>
      <x:c r="C12" s="140"/>
      <x:c r="D12" s="140"/>
      <x:c r="E12" s="140"/>
      <x:c r="F12" s="140"/>
      <x:c r="G12" s="140"/>
      <x:c r="H12" s="140"/>
      <x:c r="I12" s="144" t="str">
        <x:f>IF(COUNT(C12:E12)&lt;3,"",AVERAGE(C12:E12))</x:f>
      </x:c>
      <x:c r="J12" s="144" t="str">
        <x:f>IF(COUNT(F12:H12)&lt;3,"",AVERAGE(F12:H12))</x:f>
      </x:c>
      <x:c r="K12" s="144" t="str">
        <x:f>IF(COUNT(I12:J12)&lt;2,"",I12-J12)</x:f>
      </x:c>
      <x:c r="L12" s="145" t="str">
        <x:f>IF(OR(COUNT(I12:J12)&lt;2,I12=0),"",K12/I12)</x:f>
      </x:c>
    </x:row>
    <x:row r="13" ht="42" customHeight="1">
      <x:c r="A13" s="138" t="str">
        <x:v>SQL Catalog</x:v>
      </x:c>
      <x:c r="B13" s="138" t="str">
        <x:v>從風險 SQL 清冊定位用途與分類標籤</x:v>
      </x:c>
      <x:c r="C13" s="141"/>
      <x:c r="D13" s="141"/>
      <x:c r="E13" s="141"/>
      <x:c r="F13" s="141"/>
      <x:c r="G13" s="141"/>
      <x:c r="H13" s="141"/>
      <x:c r="I13" s="146" t="str">
        <x:f>IF(COUNT(C13:E13)&lt;3,"",AVERAGE(C13:E13))</x:f>
      </x:c>
      <x:c r="J13" s="146" t="str">
        <x:f>IF(COUNT(F13:H13)&lt;3,"",AVERAGE(F13:H13))</x:f>
      </x:c>
      <x:c r="K13" s="146" t="str">
        <x:f>IF(COUNT(I13:J13)&lt;2,"",I13-J13)</x:f>
      </x:c>
      <x:c r="L13" s="147" t="str">
        <x:f>IF(OR(COUNT(I13:J13)&lt;2,I13=0),"",K13/I13)</x:f>
      </x:c>
    </x:row>
    <x:row r="15">
      <x:c r="A15" s="148" t="str">
        <x:v>計算方式</x:v>
      </x:c>
      <x:c r="B15" s="148"/>
      <x:c r="C15" s="148"/>
      <x:c r="D15" s="148"/>
      <x:c r="E15" s="148"/>
      <x:c r="F15" s="148"/>
      <x:c r="G15" s="148"/>
      <x:c r="H15" s="148"/>
      <x:c r="I15" s="148"/>
      <x:c r="J15" s="148"/>
      <x:c r="K15" s="148"/>
      <x:c r="L15" s="148"/>
    </x:row>
    <x:row r="16" ht="25" customHeight="1">
      <x:c r="A16" s="149" t="str">
        <x:v>每項人工平均＝三次人工秒數的平均；SPA 平均＝三次 SPA 秒數的平均；平均節省秒＝人工平均－SPA 平均；改善率＝平均節省秒÷人工平均。整體改善率以五項人工平均總秒數與五項 SPA 平均總秒數計算，只有五項都完成三次配對時才顯示。負值代表 SPA 流程較慢；人工平均為 0 時不計算百分比。</x:v>
      </x:c>
      <x:c r="B16" s="149"/>
      <x:c r="C16" s="149"/>
      <x:c r="D16" s="149"/>
      <x:c r="E16" s="149"/>
      <x:c r="F16" s="149"/>
      <x:c r="G16" s="149"/>
      <x:c r="H16" s="149"/>
      <x:c r="I16" s="149"/>
      <x:c r="J16" s="149"/>
      <x:c r="K16" s="149"/>
      <x:c r="L16" s="149"/>
    </x:row>
    <x:row r="17" ht="25" customHeight="1">
      <x:c r="A17" s="149"/>
      <x:c r="B17" s="149"/>
      <x:c r="C17" s="149"/>
      <x:c r="D17" s="149"/>
      <x:c r="E17" s="149"/>
      <x:c r="F17" s="149"/>
      <x:c r="G17" s="149"/>
      <x:c r="H17" s="149"/>
      <x:c r="I17" s="149"/>
      <x:c r="J17" s="149"/>
      <x:c r="K17" s="149"/>
      <x:c r="L17" s="149"/>
    </x:row>
    <x:row r="18" ht="25" customHeight="1">
      <x:c r="A18" s="149"/>
      <x:c r="B18" s="149"/>
      <x:c r="C18" s="149"/>
      <x:c r="D18" s="149"/>
      <x:c r="E18" s="149"/>
      <x:c r="F18" s="149"/>
      <x:c r="G18" s="149"/>
      <x:c r="H18" s="149"/>
      <x:c r="I18" s="149"/>
      <x:c r="J18" s="149"/>
      <x:c r="K18" s="149"/>
      <x:c r="L18" s="149"/>
    </x:row>
    <x:row r="20" ht="40" customHeight="1">
      <x:c r="A20" s="150" t="str">
        <x:v>資料依據：專案入口與 README 中現有工具功能；計時起訖及配對方式依「成效驗證計畫與紀錄.md」。目前沒有實測耗時，本工作簿不預填估算值。案例應使用合成資料並保存試次原始紀錄。完整 Copilot 交接的等待與覆核時間另按驗證計畫記錄，不與單項工具時間混算。</x:v>
      </x:c>
      <x:c r="B20" s="150"/>
      <x:c r="C20" s="150"/>
      <x:c r="D20" s="150"/>
      <x:c r="E20" s="150"/>
      <x:c r="F20" s="150"/>
      <x:c r="G20" s="150"/>
      <x:c r="H20" s="150"/>
      <x:c r="I20" s="150"/>
      <x:c r="J20" s="150"/>
      <x:c r="K20" s="150"/>
      <x:c r="L20" s="150"/>
    </x:row>
  </x:sheetData>
  <x:mergeCells>
    <x:mergeCell ref="A1:L1"/>
    <x:mergeCell ref="A2:L2"/>
    <x:mergeCell ref="A5:B5"/>
    <x:mergeCell ref="D5:E5"/>
    <x:mergeCell ref="G5:H5"/>
    <x:mergeCell ref="J5:L5"/>
    <x:mergeCell ref="A6:L6"/>
    <x:mergeCell ref="A7:L7"/>
    <x:mergeCell ref="A15:L15"/>
    <x:mergeCell ref="A16:L18"/>
    <x:mergeCell ref="A20:L20"/>
  </x:mergeCells>
  <x:pageMargins left="0.7" right="0.7" top="0.75" bottom="0.75" header="0.3" footer="0.3"/>
</x:worksheet>
</file>